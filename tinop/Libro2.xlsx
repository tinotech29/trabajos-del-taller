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tallerquinto\Desktop\tinop\"/>
    </mc:Choice>
  </mc:AlternateContent>
  <bookViews>
    <workbookView xWindow="0" yWindow="0" windowWidth="20490" windowHeight="7635" activeTab="3"/>
  </bookViews>
  <sheets>
    <sheet name="Hoja1" sheetId="1" r:id="rId1"/>
    <sheet name="Hoja2" sheetId="2" r:id="rId2"/>
    <sheet name="Hoja3" sheetId="3" r:id="rId3"/>
    <sheet name="BD.clientes" sheetId="4" r:id="rId4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" i="4" l="1"/>
  <c r="C4" i="4"/>
  <c r="C5" i="4"/>
  <c r="C6" i="4"/>
  <c r="C7" i="4"/>
  <c r="C8" i="4"/>
  <c r="C9" i="4"/>
  <c r="C10" i="4"/>
  <c r="C11" i="4"/>
  <c r="D2" i="4"/>
  <c r="E3" i="4"/>
  <c r="E4" i="4"/>
  <c r="E5" i="4"/>
  <c r="E6" i="4"/>
  <c r="E7" i="4"/>
  <c r="E8" i="4"/>
  <c r="E9" i="4"/>
  <c r="E10" i="4"/>
  <c r="E11" i="4"/>
  <c r="E2" i="4"/>
  <c r="C2" i="4"/>
  <c r="D3" i="4"/>
  <c r="D4" i="4"/>
  <c r="D5" i="4"/>
  <c r="D6" i="4"/>
  <c r="D7" i="4"/>
  <c r="D8" i="4"/>
  <c r="D9" i="4"/>
  <c r="D10" i="4"/>
  <c r="D11" i="4"/>
  <c r="B13" i="3" l="1"/>
  <c r="B11" i="3"/>
  <c r="B12" i="3"/>
  <c r="B10" i="3"/>
  <c r="F3" i="3"/>
  <c r="F4" i="3"/>
  <c r="F5" i="3"/>
  <c r="F6" i="3"/>
  <c r="F7" i="3"/>
  <c r="F2" i="3"/>
  <c r="B16" i="2"/>
  <c r="B14" i="2"/>
  <c r="B15" i="2"/>
  <c r="I6" i="2"/>
  <c r="I7" i="2"/>
  <c r="B13" i="2"/>
  <c r="B12" i="2"/>
  <c r="I4" i="2"/>
  <c r="I3" i="2"/>
  <c r="H7" i="2"/>
  <c r="G4" i="2"/>
  <c r="H4" i="2" s="1"/>
  <c r="G5" i="2"/>
  <c r="I5" i="2" s="1"/>
  <c r="H6" i="2"/>
  <c r="G7" i="2"/>
  <c r="H3" i="2"/>
  <c r="D4" i="2"/>
  <c r="D5" i="2"/>
  <c r="D6" i="2"/>
  <c r="D7" i="2"/>
  <c r="D3" i="2"/>
  <c r="B10" i="2"/>
  <c r="C3" i="1"/>
  <c r="C4" i="1"/>
  <c r="C5" i="1"/>
  <c r="C6" i="1"/>
  <c r="C2" i="1"/>
  <c r="H5" i="2" l="1"/>
</calcChain>
</file>

<file path=xl/sharedStrings.xml><?xml version="1.0" encoding="utf-8"?>
<sst xmlns="http://schemas.openxmlformats.org/spreadsheetml/2006/main" count="137" uniqueCount="106">
  <si>
    <t>nombre</t>
  </si>
  <si>
    <t>apellido</t>
  </si>
  <si>
    <t>luis</t>
  </si>
  <si>
    <t>tino</t>
  </si>
  <si>
    <t>agus</t>
  </si>
  <si>
    <t>teo</t>
  </si>
  <si>
    <t>juan</t>
  </si>
  <si>
    <t>aguilar</t>
  </si>
  <si>
    <t>martinez</t>
  </si>
  <si>
    <t>messi</t>
  </si>
  <si>
    <t>gamboa</t>
  </si>
  <si>
    <t>veron</t>
  </si>
  <si>
    <t>apellido-nombre</t>
  </si>
  <si>
    <t>Gamboa,Luis</t>
  </si>
  <si>
    <t>Veron,Tino</t>
  </si>
  <si>
    <t>Messi,Agus</t>
  </si>
  <si>
    <t>Martinez,Teo</t>
  </si>
  <si>
    <t>Aguilar,Juan</t>
  </si>
  <si>
    <t>domicilio</t>
  </si>
  <si>
    <t>la rioja 4565</t>
  </si>
  <si>
    <t>arenales 1521</t>
  </si>
  <si>
    <t>7 de marzo 2990</t>
  </si>
  <si>
    <t>avenida lujan 3124</t>
  </si>
  <si>
    <t>sarmiento 5223</t>
  </si>
  <si>
    <t>email</t>
  </si>
  <si>
    <t>dominio</t>
  </si>
  <si>
    <t>Gamboa</t>
  </si>
  <si>
    <t>Veron</t>
  </si>
  <si>
    <t>Messi</t>
  </si>
  <si>
    <t>Martinez</t>
  </si>
  <si>
    <t>Aguilar</t>
  </si>
  <si>
    <t>Luis</t>
  </si>
  <si>
    <t>Tino</t>
  </si>
  <si>
    <t>Agus</t>
  </si>
  <si>
    <t>Teo</t>
  </si>
  <si>
    <t>Juan</t>
  </si>
  <si>
    <t>nota 1</t>
  </si>
  <si>
    <t>nota 2</t>
  </si>
  <si>
    <t>promedio</t>
  </si>
  <si>
    <t>mensaje</t>
  </si>
  <si>
    <t>mensaje 2</t>
  </si>
  <si>
    <t>mejor promedio</t>
  </si>
  <si>
    <t>peor promedio</t>
  </si>
  <si>
    <t>cantidad de alumnos que rinden en febrero</t>
  </si>
  <si>
    <t>cantidad de alumnos que rinden en diciembre</t>
  </si>
  <si>
    <t>cantidad de alumnos aprobados</t>
  </si>
  <si>
    <t>alumnos</t>
  </si>
  <si>
    <t>edad</t>
  </si>
  <si>
    <t>genero</t>
  </si>
  <si>
    <t>mota 1</t>
  </si>
  <si>
    <t>promedios</t>
  </si>
  <si>
    <t>pedro</t>
  </si>
  <si>
    <t>m</t>
  </si>
  <si>
    <t>f</t>
  </si>
  <si>
    <t>ramona</t>
  </si>
  <si>
    <t>carina</t>
  </si>
  <si>
    <t>ruberto</t>
  </si>
  <si>
    <t>katalina</t>
  </si>
  <si>
    <t>atilio</t>
  </si>
  <si>
    <t>cantidad de adolecentes aprobados</t>
  </si>
  <si>
    <t>cantidad de mujeres niñas aprobadas</t>
  </si>
  <si>
    <t>cantidad de adolecentes varones aprobados</t>
  </si>
  <si>
    <t>cantidad de niños del curso hasta 12</t>
  </si>
  <si>
    <t>Dni</t>
  </si>
  <si>
    <t>cliente</t>
  </si>
  <si>
    <t>rodrigo castillo</t>
  </si>
  <si>
    <t>salta 2036</t>
  </si>
  <si>
    <t>fecha nacimiento</t>
  </si>
  <si>
    <t>carlos tarragona</t>
  </si>
  <si>
    <t>la rioja 3016</t>
  </si>
  <si>
    <t>valentino gonzales</t>
  </si>
  <si>
    <t>hipolito irigoyen 4013</t>
  </si>
  <si>
    <t>ciudad</t>
  </si>
  <si>
    <t>santa fe</t>
  </si>
  <si>
    <t>esperanza</t>
  </si>
  <si>
    <t>julian rodriguez</t>
  </si>
  <si>
    <t>guemes 3020</t>
  </si>
  <si>
    <t>francisco adiel</t>
  </si>
  <si>
    <t>candioti 3320</t>
  </si>
  <si>
    <t>marcela gaciela</t>
  </si>
  <si>
    <t>sarmiento 4538</t>
  </si>
  <si>
    <t xml:space="preserve">santa fe </t>
  </si>
  <si>
    <t>santiago merises</t>
  </si>
  <si>
    <t>roverano 3050</t>
  </si>
  <si>
    <t>M</t>
  </si>
  <si>
    <t>F</t>
  </si>
  <si>
    <t>june cooper</t>
  </si>
  <si>
    <t>belgrano 2026</t>
  </si>
  <si>
    <t>coronda</t>
  </si>
  <si>
    <t>candela sanches</t>
  </si>
  <si>
    <t>azcuenaga 1216</t>
  </si>
  <si>
    <t>ailen aguire</t>
  </si>
  <si>
    <t>colon 4012</t>
  </si>
  <si>
    <t>####</t>
  </si>
  <si>
    <t>cantidad de clientes de esperanza</t>
  </si>
  <si>
    <t>cantidad  de clientes en coronda</t>
  </si>
  <si>
    <t>cantidad de clientes de santa fe</t>
  </si>
  <si>
    <t>cantidad de clientes mujeres jubilados</t>
  </si>
  <si>
    <t>cantidad de clientes varones jubilados</t>
  </si>
  <si>
    <t>cantidad de clientes mujeres adolescentes</t>
  </si>
  <si>
    <t>cantidad de cleintes varones adolescentes</t>
  </si>
  <si>
    <t>mes de nac</t>
  </si>
  <si>
    <t>dia de nac</t>
  </si>
  <si>
    <t>1(el email sera creado por la empresa y llevara el nombre y apellido del usuario concatenado con el numero 614 y el dominio @gmail</t>
  </si>
  <si>
    <t xml:space="preserve">2,donde hayan asteriscos ingresar las formulas que corresponden </t>
  </si>
  <si>
    <t>ingresar en E2 agregar la formula calcular el dia que nacio el cliente y el la celda continua el mes que nacio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</si>
</sst>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0" xfId="0" applyFill="1"/>
    <xf numFmtId="0" fontId="0" fillId="2" borderId="0" xfId="0" applyFill="1" applyBorder="1"/>
    <xf numFmtId="0" fontId="0" fillId="0" borderId="0" xfId="0" applyFill="1"/>
    <xf numFmtId="0" fontId="0" fillId="0" borderId="0" xfId="0" applyFill="1" applyBorder="1"/>
    <xf numFmtId="14" fontId="0" fillId="0" borderId="0" xfId="0" applyNumberFormat="1"/>
    <xf numFmtId="3" fontId="0" fillId="0" borderId="0" xfId="0" applyNumberFormat="1"/>
    <xf numFmtId="0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workbookViewId="0">
      <selection sqref="A1:B6"/>
    </sheetView>
  </sheetViews>
  <sheetFormatPr baseColWidth="10" defaultRowHeight="15" x14ac:dyDescent="0.25"/>
  <cols>
    <col min="3" max="3" width="16.140625" bestFit="1" customWidth="1"/>
    <col min="4" max="4" width="12.7109375" bestFit="1" customWidth="1"/>
  </cols>
  <sheetData>
    <row r="1" spans="1:4" x14ac:dyDescent="0.25">
      <c r="A1" t="s">
        <v>0</v>
      </c>
      <c r="B1" t="s">
        <v>1</v>
      </c>
      <c r="C1" t="s">
        <v>12</v>
      </c>
    </row>
    <row r="2" spans="1:4" x14ac:dyDescent="0.25">
      <c r="A2" t="s">
        <v>2</v>
      </c>
      <c r="B2" t="s">
        <v>10</v>
      </c>
      <c r="C2" t="str">
        <f>PROPER(B2&amp;","&amp;A2)</f>
        <v>Gamboa,Luis</v>
      </c>
      <c r="D2" t="s">
        <v>13</v>
      </c>
    </row>
    <row r="3" spans="1:4" x14ac:dyDescent="0.25">
      <c r="A3" t="s">
        <v>3</v>
      </c>
      <c r="B3" t="s">
        <v>11</v>
      </c>
      <c r="C3" t="str">
        <f t="shared" ref="C3:C6" si="0">PROPER(B3&amp;","&amp;A3)</f>
        <v>Veron,Tino</v>
      </c>
      <c r="D3" t="s">
        <v>14</v>
      </c>
    </row>
    <row r="4" spans="1:4" x14ac:dyDescent="0.25">
      <c r="A4" t="s">
        <v>4</v>
      </c>
      <c r="B4" t="s">
        <v>9</v>
      </c>
      <c r="C4" t="str">
        <f t="shared" si="0"/>
        <v>Messi,Agus</v>
      </c>
      <c r="D4" t="s">
        <v>15</v>
      </c>
    </row>
    <row r="5" spans="1:4" x14ac:dyDescent="0.25">
      <c r="A5" t="s">
        <v>5</v>
      </c>
      <c r="B5" t="s">
        <v>8</v>
      </c>
      <c r="C5" t="str">
        <f t="shared" si="0"/>
        <v>Martinez,Teo</v>
      </c>
      <c r="D5" t="s">
        <v>16</v>
      </c>
    </row>
    <row r="6" spans="1:4" x14ac:dyDescent="0.25">
      <c r="A6" t="s">
        <v>6</v>
      </c>
      <c r="B6" t="s">
        <v>7</v>
      </c>
      <c r="C6" t="str">
        <f t="shared" si="0"/>
        <v>Aguilar,Juan</v>
      </c>
      <c r="D6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6"/>
  <sheetViews>
    <sheetView workbookViewId="0">
      <selection activeCell="G3" sqref="G3"/>
    </sheetView>
  </sheetViews>
  <sheetFormatPr baseColWidth="10" defaultRowHeight="15" x14ac:dyDescent="0.25"/>
  <cols>
    <col min="1" max="1" width="42.42578125" bestFit="1" customWidth="1"/>
    <col min="2" max="2" width="26.140625" bestFit="1" customWidth="1"/>
    <col min="3" max="3" width="17.42578125" bestFit="1" customWidth="1"/>
    <col min="4" max="4" width="36.7109375" bestFit="1" customWidth="1"/>
    <col min="5" max="6" width="6.42578125" bestFit="1" customWidth="1"/>
    <col min="8" max="8" width="8.5703125" bestFit="1" customWidth="1"/>
    <col min="9" max="9" width="10" bestFit="1" customWidth="1"/>
  </cols>
  <sheetData>
    <row r="1" spans="1:9" x14ac:dyDescent="0.25">
      <c r="A1" s="3"/>
      <c r="B1" s="3"/>
      <c r="C1" s="3"/>
      <c r="D1" s="3"/>
      <c r="E1" s="4"/>
      <c r="F1" s="3"/>
      <c r="G1" s="3"/>
    </row>
    <row r="2" spans="1:9" x14ac:dyDescent="0.25">
      <c r="A2" s="1" t="s">
        <v>0</v>
      </c>
      <c r="B2" s="1" t="s">
        <v>1</v>
      </c>
      <c r="C2" s="1" t="s">
        <v>18</v>
      </c>
      <c r="D2" s="1" t="s">
        <v>24</v>
      </c>
      <c r="E2" s="2" t="s">
        <v>36</v>
      </c>
      <c r="F2" s="2" t="s">
        <v>37</v>
      </c>
      <c r="G2" s="2" t="s">
        <v>38</v>
      </c>
      <c r="H2" s="2" t="s">
        <v>39</v>
      </c>
      <c r="I2" s="2" t="s">
        <v>40</v>
      </c>
    </row>
    <row r="3" spans="1:9" x14ac:dyDescent="0.25">
      <c r="A3" t="s">
        <v>31</v>
      </c>
      <c r="B3" t="s">
        <v>26</v>
      </c>
      <c r="C3" t="s">
        <v>19</v>
      </c>
      <c r="D3" t="str">
        <f>LOWER(A3&amp;B3&amp;B$10)</f>
        <v>luisgamboa@eetp614santotome.edu.ar</v>
      </c>
      <c r="E3">
        <v>6</v>
      </c>
      <c r="F3">
        <v>6</v>
      </c>
      <c r="H3" t="str">
        <f>IF(G3&gt;=6,"aprobo","reprobo")</f>
        <v>reprobo</v>
      </c>
      <c r="I3" t="str">
        <f>IF(G3&gt;=6,"aprobo",IF(G3&lt;4,"r,feb","r,dic"))</f>
        <v>r,feb</v>
      </c>
    </row>
    <row r="4" spans="1:9" x14ac:dyDescent="0.25">
      <c r="A4" t="s">
        <v>32</v>
      </c>
      <c r="B4" t="s">
        <v>27</v>
      </c>
      <c r="C4" t="s">
        <v>20</v>
      </c>
      <c r="D4" t="str">
        <f>LOWER(A4&amp;B4&amp;B$10)</f>
        <v>tinoveron@eetp614santotome.edu.ar</v>
      </c>
      <c r="E4">
        <v>4</v>
      </c>
      <c r="F4">
        <v>2</v>
      </c>
      <c r="G4">
        <f t="shared" ref="G4:G7" si="0">AVERAGE(E4:F4)</f>
        <v>3</v>
      </c>
      <c r="H4" t="str">
        <f t="shared" ref="H4:H7" si="1">IF(G4&gt;=6,"aprobo","reprobo")</f>
        <v>reprobo</v>
      </c>
      <c r="I4" t="str">
        <f t="shared" ref="I4:I5" si="2">IF(G4&gt;=6,"aprobo",IF(G4&lt;4,"r,feb","r,dic"))</f>
        <v>r,feb</v>
      </c>
    </row>
    <row r="5" spans="1:9" x14ac:dyDescent="0.25">
      <c r="A5" t="s">
        <v>33</v>
      </c>
      <c r="B5" t="s">
        <v>28</v>
      </c>
      <c r="C5" t="s">
        <v>21</v>
      </c>
      <c r="D5" t="str">
        <f>LOWER(A5&amp;B5&amp;B$10)</f>
        <v>agusmessi@eetp614santotome.edu.ar</v>
      </c>
      <c r="E5">
        <v>8</v>
      </c>
      <c r="F5">
        <v>5</v>
      </c>
      <c r="G5">
        <f t="shared" si="0"/>
        <v>6.5</v>
      </c>
      <c r="H5" t="str">
        <f t="shared" si="1"/>
        <v>aprobo</v>
      </c>
      <c r="I5" t="str">
        <f t="shared" si="2"/>
        <v>aprobo</v>
      </c>
    </row>
    <row r="6" spans="1:9" x14ac:dyDescent="0.25">
      <c r="A6" t="s">
        <v>34</v>
      </c>
      <c r="B6" t="s">
        <v>29</v>
      </c>
      <c r="C6" t="s">
        <v>22</v>
      </c>
      <c r="D6" t="str">
        <f>LOWER(A6&amp;B6&amp;B$10)</f>
        <v>teomartinez@eetp614santotome.edu.ar</v>
      </c>
      <c r="E6">
        <v>5</v>
      </c>
      <c r="F6">
        <v>3</v>
      </c>
      <c r="G6">
        <v>5</v>
      </c>
      <c r="H6" t="str">
        <f t="shared" si="1"/>
        <v>reprobo</v>
      </c>
      <c r="I6" t="str">
        <f>IF(G6&gt;=6,"aprobo",IF(G6&lt;=4,"r,feb","r,dic"))</f>
        <v>r,dic</v>
      </c>
    </row>
    <row r="7" spans="1:9" x14ac:dyDescent="0.25">
      <c r="A7" t="s">
        <v>35</v>
      </c>
      <c r="B7" t="s">
        <v>30</v>
      </c>
      <c r="C7" t="s">
        <v>23</v>
      </c>
      <c r="D7" t="str">
        <f>LOWER(A7&amp;B7&amp;B$10)</f>
        <v>juanaguilar@eetp614santotome.edu.ar</v>
      </c>
      <c r="E7">
        <v>10</v>
      </c>
      <c r="F7">
        <v>10</v>
      </c>
      <c r="G7">
        <f t="shared" si="0"/>
        <v>10</v>
      </c>
      <c r="H7" t="str">
        <f t="shared" si="1"/>
        <v>aprobo</v>
      </c>
      <c r="I7" t="str">
        <f>IF(G7&gt;=6,"aprobo",IF(G7&lt;=4,"r,feb","r,dic"))</f>
        <v>aprobo</v>
      </c>
    </row>
    <row r="10" spans="1:9" x14ac:dyDescent="0.25">
      <c r="A10" t="s">
        <v>25</v>
      </c>
      <c r="B10" t="str">
        <f>"@eetp614santotome.edu.ar"</f>
        <v>@eetp614santotome.edu.ar</v>
      </c>
    </row>
    <row r="12" spans="1:9" x14ac:dyDescent="0.25">
      <c r="A12" t="s">
        <v>41</v>
      </c>
      <c r="B12">
        <f>MAX(G3:G7)</f>
        <v>10</v>
      </c>
    </row>
    <row r="13" spans="1:9" x14ac:dyDescent="0.25">
      <c r="A13" t="s">
        <v>42</v>
      </c>
      <c r="B13">
        <f>MIN(G3:G7)</f>
        <v>3</v>
      </c>
    </row>
    <row r="14" spans="1:9" x14ac:dyDescent="0.25">
      <c r="A14" t="s">
        <v>43</v>
      </c>
      <c r="B14">
        <f>COUNTIF(G3:G7,"&lt;4")</f>
        <v>1</v>
      </c>
    </row>
    <row r="15" spans="1:9" x14ac:dyDescent="0.25">
      <c r="A15" t="s">
        <v>44</v>
      </c>
      <c r="B15">
        <f>COUNTA(G3:G7)-COUNTIF(G3:G7,"&gt;=6")-COUNTIF(G3:G7,"&lt;4")</f>
        <v>1</v>
      </c>
    </row>
    <row r="16" spans="1:9" x14ac:dyDescent="0.25">
      <c r="A16" t="s">
        <v>45</v>
      </c>
      <c r="B16">
        <f>COUNTIF(G3:G7,"&gt;=6")</f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"/>
  <sheetViews>
    <sheetView workbookViewId="0">
      <selection activeCell="B14" sqref="B14"/>
    </sheetView>
  </sheetViews>
  <sheetFormatPr baseColWidth="10" defaultRowHeight="15" x14ac:dyDescent="0.25"/>
  <cols>
    <col min="1" max="1" width="40.42578125" bestFit="1" customWidth="1"/>
  </cols>
  <sheetData>
    <row r="1" spans="1:6" x14ac:dyDescent="0.25">
      <c r="A1" t="s">
        <v>46</v>
      </c>
      <c r="B1" t="s">
        <v>47</v>
      </c>
      <c r="C1" t="s">
        <v>48</v>
      </c>
      <c r="D1" t="s">
        <v>49</v>
      </c>
      <c r="E1" t="s">
        <v>37</v>
      </c>
      <c r="F1" t="s">
        <v>50</v>
      </c>
    </row>
    <row r="2" spans="1:6" x14ac:dyDescent="0.25">
      <c r="A2" t="s">
        <v>51</v>
      </c>
      <c r="B2">
        <v>12</v>
      </c>
      <c r="C2" t="s">
        <v>52</v>
      </c>
      <c r="D2">
        <v>4</v>
      </c>
      <c r="E2">
        <v>5</v>
      </c>
      <c r="F2">
        <f>AVERAGE(D2,E2)</f>
        <v>4.5</v>
      </c>
    </row>
    <row r="3" spans="1:6" x14ac:dyDescent="0.25">
      <c r="A3" t="s">
        <v>54</v>
      </c>
      <c r="B3">
        <v>13</v>
      </c>
      <c r="C3" t="s">
        <v>53</v>
      </c>
      <c r="D3">
        <v>7</v>
      </c>
      <c r="E3">
        <v>8</v>
      </c>
      <c r="F3">
        <f t="shared" ref="F3:F7" si="0">AVERAGE(D3,E3)</f>
        <v>7.5</v>
      </c>
    </row>
    <row r="4" spans="1:6" x14ac:dyDescent="0.25">
      <c r="A4" t="s">
        <v>55</v>
      </c>
      <c r="B4">
        <v>11</v>
      </c>
      <c r="C4" t="s">
        <v>53</v>
      </c>
      <c r="D4">
        <v>6</v>
      </c>
      <c r="E4">
        <v>7</v>
      </c>
      <c r="F4">
        <f t="shared" si="0"/>
        <v>6.5</v>
      </c>
    </row>
    <row r="5" spans="1:6" x14ac:dyDescent="0.25">
      <c r="A5" t="s">
        <v>56</v>
      </c>
      <c r="B5">
        <v>14</v>
      </c>
      <c r="C5" t="s">
        <v>52</v>
      </c>
      <c r="D5">
        <v>8</v>
      </c>
      <c r="E5">
        <v>9</v>
      </c>
      <c r="F5">
        <f t="shared" si="0"/>
        <v>8.5</v>
      </c>
    </row>
    <row r="6" spans="1:6" x14ac:dyDescent="0.25">
      <c r="A6" t="s">
        <v>57</v>
      </c>
      <c r="B6">
        <v>10</v>
      </c>
      <c r="C6" t="s">
        <v>53</v>
      </c>
      <c r="D6">
        <v>7</v>
      </c>
      <c r="E6">
        <v>6</v>
      </c>
      <c r="F6">
        <f t="shared" si="0"/>
        <v>6.5</v>
      </c>
    </row>
    <row r="7" spans="1:6" x14ac:dyDescent="0.25">
      <c r="A7" t="s">
        <v>58</v>
      </c>
      <c r="B7">
        <v>9</v>
      </c>
      <c r="C7" t="s">
        <v>52</v>
      </c>
      <c r="D7">
        <v>8</v>
      </c>
      <c r="E7">
        <v>10</v>
      </c>
      <c r="F7">
        <f t="shared" si="0"/>
        <v>9</v>
      </c>
    </row>
    <row r="10" spans="1:6" x14ac:dyDescent="0.25">
      <c r="A10" t="s">
        <v>62</v>
      </c>
      <c r="B10">
        <f>COUNTIF(B2:B7,"&lt;=12")</f>
        <v>4</v>
      </c>
    </row>
    <row r="11" spans="1:6" x14ac:dyDescent="0.25">
      <c r="A11" t="s">
        <v>59</v>
      </c>
      <c r="B11">
        <f>COUNTIFS(B2:B7,"&gt;=12", F2:F7,"&gt;=6")</f>
        <v>2</v>
      </c>
    </row>
    <row r="12" spans="1:6" x14ac:dyDescent="0.25">
      <c r="A12" t="s">
        <v>60</v>
      </c>
      <c r="B12">
        <f>COUNTIFS(B2:B7,"&lt;=12",C2:C7,"f",F2:F7,"&gt;=6")</f>
        <v>2</v>
      </c>
    </row>
    <row r="13" spans="1:6" x14ac:dyDescent="0.25">
      <c r="A13" t="s">
        <v>61</v>
      </c>
      <c r="B13">
        <f>COUNTIFS(B2:B7,"&gt;12",C2:C7,"m", F2:F7,"&gt;=6")</f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4"/>
  <sheetViews>
    <sheetView tabSelected="1" topLeftCell="A4" workbookViewId="0">
      <selection activeCell="A24" sqref="A24"/>
    </sheetView>
  </sheetViews>
  <sheetFormatPr baseColWidth="10" defaultRowHeight="15" x14ac:dyDescent="0.25"/>
  <cols>
    <col min="1" max="1" width="120.7109375" bestFit="1" customWidth="1"/>
    <col min="2" max="2" width="16.42578125" bestFit="1" customWidth="1"/>
    <col min="3" max="7" width="16.42578125" customWidth="1"/>
    <col min="8" max="8" width="17.7109375" bestFit="1" customWidth="1"/>
    <col min="9" max="9" width="20.28515625" bestFit="1" customWidth="1"/>
  </cols>
  <sheetData>
    <row r="1" spans="1:11" x14ac:dyDescent="0.25">
      <c r="A1" t="s">
        <v>63</v>
      </c>
      <c r="B1" t="s">
        <v>67</v>
      </c>
      <c r="C1" t="s">
        <v>101</v>
      </c>
      <c r="D1" t="s">
        <v>102</v>
      </c>
      <c r="E1" t="s">
        <v>47</v>
      </c>
      <c r="F1" t="s">
        <v>72</v>
      </c>
      <c r="G1" t="s">
        <v>48</v>
      </c>
      <c r="H1" t="s">
        <v>64</v>
      </c>
      <c r="I1" t="s">
        <v>18</v>
      </c>
      <c r="J1" t="s">
        <v>24</v>
      </c>
    </row>
    <row r="2" spans="1:11" x14ac:dyDescent="0.25">
      <c r="A2" s="6">
        <v>35452678</v>
      </c>
      <c r="B2" s="5">
        <v>36048</v>
      </c>
      <c r="C2" s="5" t="str">
        <f>TEXT(B2,"mmmm")</f>
        <v>septiembre</v>
      </c>
      <c r="D2" s="5" t="str">
        <f>TEXT(B2,"DDDD")</f>
        <v>jueves</v>
      </c>
      <c r="E2" s="7">
        <f ca="1">DATEDIF(B2,TODAY(),"y")</f>
        <v>27</v>
      </c>
      <c r="F2" s="5" t="s">
        <v>73</v>
      </c>
      <c r="G2" s="5" t="s">
        <v>84</v>
      </c>
      <c r="H2" t="s">
        <v>65</v>
      </c>
      <c r="I2" t="s">
        <v>66</v>
      </c>
      <c r="K2" s="5"/>
    </row>
    <row r="3" spans="1:11" x14ac:dyDescent="0.25">
      <c r="A3" s="6">
        <v>42302919</v>
      </c>
      <c r="B3" s="5">
        <v>35267</v>
      </c>
      <c r="C3" s="5" t="str">
        <f t="shared" ref="C3:C11" si="0">TEXT(B3,"mmmm")</f>
        <v>julio</v>
      </c>
      <c r="D3" s="5" t="str">
        <f t="shared" ref="D3:D11" si="1">TEXT(B3,"DDDD")</f>
        <v>domingo</v>
      </c>
      <c r="E3" s="7">
        <f t="shared" ref="E3:E11" ca="1" si="2">DATEDIF(B3,TODAY(),"y")</f>
        <v>29</v>
      </c>
      <c r="F3" s="5" t="s">
        <v>74</v>
      </c>
      <c r="G3" s="5" t="s">
        <v>84</v>
      </c>
      <c r="H3" t="s">
        <v>68</v>
      </c>
      <c r="I3" t="s">
        <v>69</v>
      </c>
    </row>
    <row r="4" spans="1:11" x14ac:dyDescent="0.25">
      <c r="A4" s="6">
        <v>47636620</v>
      </c>
      <c r="B4" s="5">
        <v>39145</v>
      </c>
      <c r="C4" s="5" t="str">
        <f t="shared" si="0"/>
        <v>marzo</v>
      </c>
      <c r="D4" s="5" t="str">
        <f t="shared" si="1"/>
        <v>domingo</v>
      </c>
      <c r="E4" s="7">
        <f t="shared" ca="1" si="2"/>
        <v>19</v>
      </c>
      <c r="F4" s="5" t="s">
        <v>74</v>
      </c>
      <c r="G4" s="5" t="s">
        <v>84</v>
      </c>
      <c r="H4" t="s">
        <v>70</v>
      </c>
      <c r="I4" t="s">
        <v>71</v>
      </c>
    </row>
    <row r="5" spans="1:11" x14ac:dyDescent="0.25">
      <c r="A5" s="6">
        <v>20434613</v>
      </c>
      <c r="B5" s="5">
        <v>26587</v>
      </c>
      <c r="C5" s="5" t="str">
        <f t="shared" si="0"/>
        <v>octubre</v>
      </c>
      <c r="D5" s="5" t="str">
        <f t="shared" si="1"/>
        <v>domingo</v>
      </c>
      <c r="E5" s="7">
        <f t="shared" ca="1" si="2"/>
        <v>53</v>
      </c>
      <c r="F5" s="5" t="s">
        <v>73</v>
      </c>
      <c r="G5" s="5" t="s">
        <v>84</v>
      </c>
      <c r="H5" t="s">
        <v>75</v>
      </c>
      <c r="I5" t="s">
        <v>76</v>
      </c>
    </row>
    <row r="6" spans="1:11" x14ac:dyDescent="0.25">
      <c r="A6" s="6">
        <v>37455990</v>
      </c>
      <c r="B6" s="5">
        <v>32964</v>
      </c>
      <c r="C6" s="5" t="str">
        <f t="shared" si="0"/>
        <v>abril</v>
      </c>
      <c r="D6" s="5" t="str">
        <f t="shared" si="1"/>
        <v>domingo</v>
      </c>
      <c r="E6" s="7">
        <f t="shared" ca="1" si="2"/>
        <v>36</v>
      </c>
      <c r="F6" s="5" t="s">
        <v>88</v>
      </c>
      <c r="G6" s="5" t="s">
        <v>84</v>
      </c>
      <c r="H6" t="s">
        <v>77</v>
      </c>
      <c r="I6" t="s">
        <v>78</v>
      </c>
    </row>
    <row r="7" spans="1:11" x14ac:dyDescent="0.25">
      <c r="A7" s="6">
        <v>40312895</v>
      </c>
      <c r="B7" s="5">
        <v>33177</v>
      </c>
      <c r="C7" s="5" t="str">
        <f t="shared" si="0"/>
        <v>octubre</v>
      </c>
      <c r="D7" s="5" t="str">
        <f t="shared" si="1"/>
        <v>miércoles</v>
      </c>
      <c r="E7" s="7">
        <f t="shared" ca="1" si="2"/>
        <v>35</v>
      </c>
      <c r="F7" s="5" t="s">
        <v>73</v>
      </c>
      <c r="G7" s="5" t="s">
        <v>85</v>
      </c>
      <c r="H7" t="s">
        <v>79</v>
      </c>
      <c r="I7" t="s">
        <v>80</v>
      </c>
    </row>
    <row r="8" spans="1:11" x14ac:dyDescent="0.25">
      <c r="A8" s="6">
        <v>38478900</v>
      </c>
      <c r="B8" s="5">
        <v>38965</v>
      </c>
      <c r="C8" s="5" t="str">
        <f t="shared" si="0"/>
        <v>septiembre</v>
      </c>
      <c r="D8" s="5" t="str">
        <f t="shared" si="1"/>
        <v>martes</v>
      </c>
      <c r="E8" s="7">
        <f t="shared" ca="1" si="2"/>
        <v>19</v>
      </c>
      <c r="F8" s="5" t="s">
        <v>81</v>
      </c>
      <c r="G8" s="5" t="s">
        <v>84</v>
      </c>
      <c r="H8" t="s">
        <v>82</v>
      </c>
      <c r="I8" t="s">
        <v>83</v>
      </c>
    </row>
    <row r="9" spans="1:11" x14ac:dyDescent="0.25">
      <c r="A9" s="6">
        <v>45382023</v>
      </c>
      <c r="B9" s="5">
        <v>38311</v>
      </c>
      <c r="C9" s="5" t="str">
        <f t="shared" si="0"/>
        <v>noviembre</v>
      </c>
      <c r="D9" s="5" t="str">
        <f t="shared" si="1"/>
        <v>sábado</v>
      </c>
      <c r="E9" s="7">
        <f t="shared" ca="1" si="2"/>
        <v>21</v>
      </c>
      <c r="F9" s="5" t="s">
        <v>74</v>
      </c>
      <c r="G9" s="5" t="s">
        <v>85</v>
      </c>
      <c r="H9" t="s">
        <v>86</v>
      </c>
      <c r="I9" s="5" t="s">
        <v>87</v>
      </c>
    </row>
    <row r="10" spans="1:11" x14ac:dyDescent="0.25">
      <c r="A10" s="6">
        <v>38085552</v>
      </c>
      <c r="B10" s="5">
        <v>32847</v>
      </c>
      <c r="C10" s="5" t="str">
        <f t="shared" si="0"/>
        <v>diciembre</v>
      </c>
      <c r="D10" s="5" t="str">
        <f t="shared" si="1"/>
        <v>martes</v>
      </c>
      <c r="E10" s="7">
        <f t="shared" ca="1" si="2"/>
        <v>36</v>
      </c>
      <c r="F10" s="5" t="s">
        <v>88</v>
      </c>
      <c r="G10" s="5" t="s">
        <v>85</v>
      </c>
      <c r="H10" t="s">
        <v>89</v>
      </c>
      <c r="I10" s="5" t="s">
        <v>90</v>
      </c>
    </row>
    <row r="11" spans="1:11" x14ac:dyDescent="0.25">
      <c r="A11" s="6">
        <v>22659009</v>
      </c>
      <c r="B11" s="5">
        <v>32415</v>
      </c>
      <c r="C11" s="5" t="str">
        <f t="shared" si="0"/>
        <v>septiembre</v>
      </c>
      <c r="D11" s="5" t="str">
        <f t="shared" si="1"/>
        <v>jueves</v>
      </c>
      <c r="E11" s="7">
        <f t="shared" ca="1" si="2"/>
        <v>37</v>
      </c>
      <c r="F11" s="5" t="s">
        <v>88</v>
      </c>
      <c r="G11" s="5" t="s">
        <v>85</v>
      </c>
      <c r="H11" t="s">
        <v>91</v>
      </c>
      <c r="I11" s="5" t="s">
        <v>92</v>
      </c>
    </row>
    <row r="13" spans="1:11" x14ac:dyDescent="0.25">
      <c r="A13" s="9" t="s">
        <v>96</v>
      </c>
      <c r="B13" s="9"/>
      <c r="C13" s="8"/>
      <c r="G13" s="5" t="s">
        <v>93</v>
      </c>
    </row>
    <row r="14" spans="1:11" x14ac:dyDescent="0.25">
      <c r="A14" s="9" t="s">
        <v>94</v>
      </c>
      <c r="B14" s="9"/>
      <c r="C14" s="8"/>
      <c r="G14" s="5" t="s">
        <v>93</v>
      </c>
    </row>
    <row r="15" spans="1:11" x14ac:dyDescent="0.25">
      <c r="A15" s="9" t="s">
        <v>95</v>
      </c>
      <c r="B15" s="9"/>
      <c r="C15" s="8"/>
      <c r="G15" s="5" t="s">
        <v>93</v>
      </c>
    </row>
    <row r="16" spans="1:11" x14ac:dyDescent="0.25">
      <c r="A16" s="9" t="s">
        <v>97</v>
      </c>
      <c r="B16" s="9"/>
      <c r="C16" s="8"/>
      <c r="G16" s="5" t="s">
        <v>93</v>
      </c>
    </row>
    <row r="17" spans="1:7" x14ac:dyDescent="0.25">
      <c r="A17" s="9" t="s">
        <v>98</v>
      </c>
      <c r="B17" s="9"/>
      <c r="C17" s="8"/>
      <c r="G17" s="5" t="s">
        <v>93</v>
      </c>
    </row>
    <row r="18" spans="1:7" x14ac:dyDescent="0.25">
      <c r="A18" s="9" t="s">
        <v>99</v>
      </c>
      <c r="B18" s="9"/>
      <c r="C18" s="8"/>
      <c r="G18" s="5" t="s">
        <v>93</v>
      </c>
    </row>
    <row r="19" spans="1:7" x14ac:dyDescent="0.25">
      <c r="A19" s="9" t="s">
        <v>100</v>
      </c>
      <c r="B19" s="9"/>
      <c r="C19" s="8"/>
      <c r="G19" s="5" t="s">
        <v>93</v>
      </c>
    </row>
    <row r="22" spans="1:7" x14ac:dyDescent="0.25">
      <c r="A22" t="s">
        <v>103</v>
      </c>
    </row>
    <row r="23" spans="1:7" x14ac:dyDescent="0.25">
      <c r="A23" t="s">
        <v>104</v>
      </c>
    </row>
    <row r="24" spans="1:7" x14ac:dyDescent="0.25">
      <c r="A24" t="s">
        <v>105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Hoja1</vt:lpstr>
      <vt:lpstr>Hoja2</vt:lpstr>
      <vt:lpstr>Hoja3</vt:lpstr>
      <vt:lpstr>BD.clientes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Alumnos de Taller Quinto Año</dc:creator>
  <cp:lastModifiedBy>Alumnos de Taller Quinto Año</cp:lastModifiedBy>
  <dcterms:created xsi:type="dcterms:W3CDTF">2026-03-30T10:48:47Z</dcterms:created>
  <dcterms:modified xsi:type="dcterms:W3CDTF">2026-04-01T12:52:14Z</dcterms:modified>
</cp:coreProperties>
</file>