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llerquinto\Desktop\tinop\"/>
    </mc:Choice>
  </mc:AlternateContent>
  <bookViews>
    <workbookView xWindow="0" yWindow="0" windowWidth="16815" windowHeight="7635" activeTab="2"/>
  </bookViews>
  <sheets>
    <sheet name="Hoja1" sheetId="1" r:id="rId1"/>
    <sheet name="Hoja2" sheetId="2" r:id="rId2"/>
    <sheet name="Hoja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3" l="1"/>
  <c r="F4" i="3"/>
  <c r="F2" i="3"/>
  <c r="E6" i="3"/>
  <c r="D5" i="3"/>
  <c r="D3" i="3"/>
  <c r="D4" i="3"/>
  <c r="D2" i="3"/>
  <c r="D13" i="2"/>
  <c r="D12" i="2"/>
  <c r="D11" i="2"/>
  <c r="D10" i="2"/>
  <c r="F4" i="1"/>
  <c r="F5" i="1"/>
  <c r="F6" i="1"/>
  <c r="F7" i="1"/>
  <c r="F3" i="1"/>
  <c r="E4" i="1"/>
  <c r="E5" i="1"/>
  <c r="E6" i="1"/>
  <c r="E7" i="1"/>
  <c r="E3" i="1"/>
  <c r="I1" i="1"/>
</calcChain>
</file>

<file path=xl/sharedStrings.xml><?xml version="1.0" encoding="utf-8"?>
<sst xmlns="http://schemas.openxmlformats.org/spreadsheetml/2006/main" count="42" uniqueCount="41">
  <si>
    <t>4 de enero</t>
  </si>
  <si>
    <t>1.debajo del titulo direccion concatenar la misma de manera tal que quede belgrano 2322</t>
  </si>
  <si>
    <t>2.en email deberas concatenar el nombre con el apellido y luego el dominio, de tal forma que quede por ejemplo: pedrosanchez@gmail.com</t>
  </si>
  <si>
    <t>Pedro</t>
  </si>
  <si>
    <t>Luis</t>
  </si>
  <si>
    <t>Carina</t>
  </si>
  <si>
    <t>Gustavo</t>
  </si>
  <si>
    <t>Fernando</t>
  </si>
  <si>
    <t>Sanchez</t>
  </si>
  <si>
    <t>Rodriguez</t>
  </si>
  <si>
    <t>Benitez</t>
  </si>
  <si>
    <t>Cosimi</t>
  </si>
  <si>
    <t>Castellano</t>
  </si>
  <si>
    <t>Apellido</t>
  </si>
  <si>
    <t>Nombre</t>
  </si>
  <si>
    <t>Calle</t>
  </si>
  <si>
    <t>Nro</t>
  </si>
  <si>
    <t xml:space="preserve">Direccion </t>
  </si>
  <si>
    <t>Email</t>
  </si>
  <si>
    <t>Domicilio</t>
  </si>
  <si>
    <t>Dominio:</t>
  </si>
  <si>
    <t>Belgrano</t>
  </si>
  <si>
    <t>Balcarce</t>
  </si>
  <si>
    <t>Espora</t>
  </si>
  <si>
    <t>Las heras</t>
  </si>
  <si>
    <t>Azul</t>
  </si>
  <si>
    <t>Casa</t>
  </si>
  <si>
    <t>Negro</t>
  </si>
  <si>
    <t>Contar Nros:</t>
  </si>
  <si>
    <t>Contar Espacios:</t>
  </si>
  <si>
    <t>Contar celdas con contenido:</t>
  </si>
  <si>
    <t>Origen</t>
  </si>
  <si>
    <t>Nacional</t>
  </si>
  <si>
    <t>Extranjero</t>
  </si>
  <si>
    <t>Total producto</t>
  </si>
  <si>
    <t>Precio unitario</t>
  </si>
  <si>
    <t>Unidades</t>
  </si>
  <si>
    <t>Productos</t>
  </si>
  <si>
    <t>Leche</t>
  </si>
  <si>
    <t>Atun</t>
  </si>
  <si>
    <t>Arroz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</si>
</sst>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F3" sqref="F3"/>
    </sheetView>
  </sheetViews>
  <sheetFormatPr baseColWidth="10" defaultRowHeight="15" x14ac:dyDescent="0.25"/>
  <cols>
    <col min="5" max="5" width="13.42578125" customWidth="1"/>
    <col min="6" max="6" width="28.5703125" customWidth="1"/>
  </cols>
  <sheetData>
    <row r="1" spans="1:9" x14ac:dyDescent="0.25">
      <c r="C1" t="s">
        <v>19</v>
      </c>
      <c r="H1" t="s">
        <v>20</v>
      </c>
      <c r="I1" t="str">
        <f>"@gmail.com"</f>
        <v>@gmail.com</v>
      </c>
    </row>
    <row r="2" spans="1:9" x14ac:dyDescent="0.25">
      <c r="A2" t="s">
        <v>14</v>
      </c>
      <c r="B2" t="s">
        <v>13</v>
      </c>
      <c r="C2" t="s">
        <v>15</v>
      </c>
      <c r="D2" t="s">
        <v>16</v>
      </c>
      <c r="E2" t="s">
        <v>17</v>
      </c>
      <c r="F2" t="s">
        <v>18</v>
      </c>
    </row>
    <row r="3" spans="1:9" x14ac:dyDescent="0.25">
      <c r="A3" t="s">
        <v>3</v>
      </c>
      <c r="B3" t="s">
        <v>8</v>
      </c>
      <c r="C3" t="s">
        <v>21</v>
      </c>
      <c r="D3">
        <v>2322</v>
      </c>
      <c r="E3" t="str">
        <f>C3&amp;" "&amp;D3</f>
        <v>Belgrano 2322</v>
      </c>
      <c r="F3" t="str">
        <f>LOWER(A3&amp;B3&amp;I$1)</f>
        <v>pedrosanchez@gmail.com</v>
      </c>
    </row>
    <row r="4" spans="1:9" x14ac:dyDescent="0.25">
      <c r="A4" t="s">
        <v>4</v>
      </c>
      <c r="B4" t="s">
        <v>9</v>
      </c>
      <c r="C4" t="s">
        <v>0</v>
      </c>
      <c r="D4">
        <v>710</v>
      </c>
      <c r="E4" t="str">
        <f t="shared" ref="E4:E7" si="0">C4&amp;" "&amp;D4</f>
        <v>4 de enero 710</v>
      </c>
      <c r="F4" t="str">
        <f t="shared" ref="F4:F7" si="1">LOWER(A4&amp;B4&amp;I$1)</f>
        <v>luisrodriguez@gmail.com</v>
      </c>
    </row>
    <row r="5" spans="1:9" x14ac:dyDescent="0.25">
      <c r="A5" t="s">
        <v>5</v>
      </c>
      <c r="B5" t="s">
        <v>10</v>
      </c>
      <c r="C5" t="s">
        <v>22</v>
      </c>
      <c r="D5">
        <v>2244</v>
      </c>
      <c r="E5" t="str">
        <f t="shared" si="0"/>
        <v>Balcarce 2244</v>
      </c>
      <c r="F5" t="str">
        <f t="shared" si="1"/>
        <v>carinabenitez@gmail.com</v>
      </c>
    </row>
    <row r="6" spans="1:9" x14ac:dyDescent="0.25">
      <c r="A6" t="s">
        <v>6</v>
      </c>
      <c r="B6" t="s">
        <v>11</v>
      </c>
      <c r="C6" t="s">
        <v>23</v>
      </c>
      <c r="D6">
        <v>3222</v>
      </c>
      <c r="E6" t="str">
        <f t="shared" si="0"/>
        <v>Espora 3222</v>
      </c>
      <c r="F6" t="str">
        <f t="shared" si="1"/>
        <v>gustavocosimi@gmail.com</v>
      </c>
    </row>
    <row r="7" spans="1:9" x14ac:dyDescent="0.25">
      <c r="A7" t="s">
        <v>7</v>
      </c>
      <c r="B7" t="s">
        <v>12</v>
      </c>
      <c r="C7" t="s">
        <v>24</v>
      </c>
      <c r="D7">
        <v>3885</v>
      </c>
      <c r="E7" t="str">
        <f t="shared" si="0"/>
        <v>Las heras 3885</v>
      </c>
      <c r="F7" t="str">
        <f t="shared" si="1"/>
        <v>fernandocastellano@gmail.com</v>
      </c>
    </row>
    <row r="9" spans="1:9" x14ac:dyDescent="0.25">
      <c r="A9" t="s">
        <v>1</v>
      </c>
    </row>
    <row r="10" spans="1:9" x14ac:dyDescent="0.25">
      <c r="A10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13" sqref="D13"/>
    </sheetView>
  </sheetViews>
  <sheetFormatPr baseColWidth="10" defaultRowHeight="15" x14ac:dyDescent="0.25"/>
  <cols>
    <col min="4" max="4" width="11.85546875" bestFit="1" customWidth="1"/>
  </cols>
  <sheetData>
    <row r="1" spans="1:4" x14ac:dyDescent="0.25">
      <c r="A1" t="s">
        <v>25</v>
      </c>
    </row>
    <row r="3" spans="1:4" x14ac:dyDescent="0.25">
      <c r="A3">
        <v>4</v>
      </c>
    </row>
    <row r="5" spans="1:4" x14ac:dyDescent="0.25">
      <c r="A5">
        <v>3</v>
      </c>
    </row>
    <row r="6" spans="1:4" x14ac:dyDescent="0.25">
      <c r="A6" t="s">
        <v>27</v>
      </c>
    </row>
    <row r="7" spans="1:4" x14ac:dyDescent="0.25">
      <c r="A7" t="s">
        <v>26</v>
      </c>
    </row>
    <row r="9" spans="1:4" x14ac:dyDescent="0.25">
      <c r="A9">
        <v>8</v>
      </c>
    </row>
    <row r="10" spans="1:4" x14ac:dyDescent="0.25">
      <c r="A10" t="s">
        <v>28</v>
      </c>
      <c r="D10">
        <f>COUNT(A1:A9)</f>
        <v>3</v>
      </c>
    </row>
    <row r="11" spans="1:4" x14ac:dyDescent="0.25">
      <c r="A11" t="s">
        <v>29</v>
      </c>
      <c r="D11">
        <f>COUNTBLANK(A1:A9)</f>
        <v>3</v>
      </c>
    </row>
    <row r="12" spans="1:4" x14ac:dyDescent="0.25">
      <c r="A12" t="s">
        <v>30</v>
      </c>
      <c r="D12">
        <f>COUNTA(A1:A9)</f>
        <v>6</v>
      </c>
    </row>
    <row r="13" spans="1:4" x14ac:dyDescent="0.25">
      <c r="D13">
        <f>COUNTA(A1:A9)-COUNT(A1:A9)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5" sqref="F5"/>
    </sheetView>
  </sheetViews>
  <sheetFormatPr baseColWidth="10" defaultRowHeight="15" x14ac:dyDescent="0.25"/>
  <cols>
    <col min="3" max="3" width="14" customWidth="1"/>
    <col min="4" max="4" width="13.42578125" customWidth="1"/>
    <col min="6" max="6" width="12.42578125" customWidth="1"/>
  </cols>
  <sheetData>
    <row r="1" spans="1:6" x14ac:dyDescent="0.25">
      <c r="A1" t="s">
        <v>37</v>
      </c>
      <c r="B1" t="s">
        <v>36</v>
      </c>
      <c r="C1" t="s">
        <v>35</v>
      </c>
      <c r="D1" t="s">
        <v>34</v>
      </c>
      <c r="E1" t="s">
        <v>31</v>
      </c>
    </row>
    <row r="2" spans="1:6" x14ac:dyDescent="0.25">
      <c r="A2" t="s">
        <v>38</v>
      </c>
      <c r="B2">
        <v>4</v>
      </c>
      <c r="C2">
        <v>1500</v>
      </c>
      <c r="D2">
        <f>B2*C2</f>
        <v>6000</v>
      </c>
      <c r="E2" t="s">
        <v>32</v>
      </c>
      <c r="F2" t="str">
        <f>UPPER(E2:E4)</f>
        <v>NACIONAL</v>
      </c>
    </row>
    <row r="3" spans="1:6" x14ac:dyDescent="0.25">
      <c r="A3" t="s">
        <v>39</v>
      </c>
      <c r="B3">
        <v>3</v>
      </c>
      <c r="C3">
        <v>4500</v>
      </c>
      <c r="D3">
        <f t="shared" ref="D3:D4" si="0">B3*C3</f>
        <v>13500</v>
      </c>
      <c r="E3" t="s">
        <v>33</v>
      </c>
      <c r="F3" t="str">
        <f t="shared" ref="F3:F4" si="1">UPPER(E3:E5)</f>
        <v>EXTRANJERO</v>
      </c>
    </row>
    <row r="4" spans="1:6" x14ac:dyDescent="0.25">
      <c r="A4" t="s">
        <v>40</v>
      </c>
      <c r="B4">
        <v>2</v>
      </c>
      <c r="C4">
        <v>1200</v>
      </c>
      <c r="D4">
        <f t="shared" si="0"/>
        <v>2400</v>
      </c>
      <c r="E4" t="s">
        <v>32</v>
      </c>
      <c r="F4" t="str">
        <f t="shared" si="1"/>
        <v>NACIONAL</v>
      </c>
    </row>
    <row r="5" spans="1:6" x14ac:dyDescent="0.25">
      <c r="D5">
        <f>SUMPRODUCT(B2:B4,C2:C4)</f>
        <v>21900</v>
      </c>
    </row>
    <row r="6" spans="1:6" x14ac:dyDescent="0.25">
      <c r="E6">
        <f>SUMIF(E2:E4,E2,D2:D4)</f>
        <v>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Quinto Año</dc:creator>
  <cp:lastModifiedBy>Alumnos de Taller Quinto Año</cp:lastModifiedBy>
  <dcterms:created xsi:type="dcterms:W3CDTF">2026-04-08T10:45:06Z</dcterms:created>
  <dcterms:modified xsi:type="dcterms:W3CDTF">2026-04-08T14:00:23Z</dcterms:modified>
</cp:coreProperties>
</file>