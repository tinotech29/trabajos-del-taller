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llerquinto\Desktop\tinop\"/>
    </mc:Choice>
  </mc:AlternateContent>
  <bookViews>
    <workbookView xWindow="0" yWindow="0" windowWidth="15345" windowHeight="454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9" i="1"/>
  <c r="I10" i="1"/>
  <c r="I11" i="1"/>
  <c r="I12" i="1"/>
  <c r="I13" i="1"/>
  <c r="I14" i="1"/>
  <c r="I16" i="1"/>
  <c r="B34" i="1"/>
  <c r="B36" i="1"/>
  <c r="B35" i="1"/>
  <c r="E40" i="1"/>
  <c r="E41" i="1"/>
  <c r="E39" i="1"/>
  <c r="D40" i="1"/>
  <c r="D41" i="1"/>
  <c r="D39" i="1"/>
  <c r="B31" i="1"/>
  <c r="B30" i="1"/>
  <c r="B29" i="1"/>
  <c r="B28" i="1"/>
  <c r="D25" i="1"/>
  <c r="D24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<sst xmlns="http://schemas.openxmlformats.org/spreadsheetml/2006/main" count="89" uniqueCount="40">
  <si>
    <t>Fecha</t>
  </si>
  <si>
    <t>Vendedor</t>
  </si>
  <si>
    <t>Producto</t>
  </si>
  <si>
    <t>Cantidad</t>
  </si>
  <si>
    <t>Total</t>
  </si>
  <si>
    <t>Estado de pago</t>
  </si>
  <si>
    <t>Comision</t>
  </si>
  <si>
    <t>Total a pagar</t>
  </si>
  <si>
    <t>Premio</t>
  </si>
  <si>
    <t>Pablo</t>
  </si>
  <si>
    <t>Pedro</t>
  </si>
  <si>
    <t>Claudia</t>
  </si>
  <si>
    <t>Mouse</t>
  </si>
  <si>
    <t>Teclado</t>
  </si>
  <si>
    <t>Monitor</t>
  </si>
  <si>
    <t>Disco duro</t>
  </si>
  <si>
    <t>Disco Duro</t>
  </si>
  <si>
    <t>Contado</t>
  </si>
  <si>
    <t>Transferencia</t>
  </si>
  <si>
    <t>Tarjeta</t>
  </si>
  <si>
    <t>Total Gral:</t>
  </si>
  <si>
    <t>Detalle</t>
  </si>
  <si>
    <t>Precio unitario</t>
  </si>
  <si>
    <t>1) Las celdas que contengan precios, deberán tener formato moneda con dos decimales.</t>
  </si>
  <si>
    <t>2) Se debe configurar el diseño con bordes, los títulos en negrita y centrados, color de fondo como aparece en la pantalla.</t>
  </si>
  <si>
    <t>3) La comisión será calculada sobre el total, si el producto lo vendio en efectivo será un 10%, y con transferencia el 5%. (Resolverlo con =si)</t>
  </si>
  <si>
    <t>4) El total a pagar será un 20% de descuento sobre el total si la compra fue realizada un día de la semana laboral (Lunes-Viernes), </t>
  </si>
  <si>
    <t>en caso contrario no tendrá descuento.</t>
  </si>
  <si>
    <t>5) Al total Gral realizarlo con la función sumaproducto.</t>
  </si>
  <si>
    <t>6) En premio será el 50% del total a pagar si la fecha de venta coincide con la fecha de su cumple y posee más de 10 años de antigüedad,  </t>
  </si>
  <si>
    <t>será el 20% si posee menos años de antigüedad. En caso contrario que no cumpla años aparecerá espacios en blanco. (Resolverlo con =si)</t>
  </si>
  <si>
    <t>cantidad de productos mas vendidos</t>
  </si>
  <si>
    <t>cantidad total de productos vendidos</t>
  </si>
  <si>
    <t>cantidad total de cada producto vendido</t>
  </si>
  <si>
    <t>Total Recaudado de comision por cada vendedor</t>
  </si>
  <si>
    <t>Fecha Nacimiento</t>
  </si>
  <si>
    <t>Fecha Ingreso a la empresa</t>
  </si>
  <si>
    <t>Edad</t>
  </si>
  <si>
    <t>antigüedad en la empresa</t>
  </si>
  <si>
    <t>7) Una vez que has resuelto todo, debes proteger las celdas donde hayan fórmulas, para que el usuario no pueda modificarlas.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</si>
</sst>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8" formatCode="[$$-2C0A]\ #,##0.00"/>
    <numFmt numFmtId="170" formatCode="dd/mm/yyyy;@"/>
    <numFmt numFmtId="171" formatCode="&quot;$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2" borderId="1" xfId="0" applyFont="1" applyFill="1" applyBorder="1"/>
    <xf numFmtId="171" fontId="0" fillId="0" borderId="0" xfId="0" applyNumberFormat="1"/>
    <xf numFmtId="0" fontId="0" fillId="0" borderId="1" xfId="0" applyBorder="1"/>
    <xf numFmtId="170" fontId="0" fillId="0" borderId="1" xfId="0" applyNumberFormat="1" applyBorder="1"/>
    <xf numFmtId="168" fontId="0" fillId="0" borderId="1" xfId="0" applyNumberFormat="1" applyBorder="1"/>
    <xf numFmtId="171" fontId="0" fillId="0" borderId="1" xfId="0" applyNumberFormat="1" applyBorder="1"/>
    <xf numFmtId="4" fontId="0" fillId="0" borderId="1" xfId="0" applyNumberFormat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NumberForma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I2" sqref="I2"/>
    </sheetView>
  </sheetViews>
  <sheetFormatPr baseColWidth="10" defaultRowHeight="15" x14ac:dyDescent="0.25"/>
  <cols>
    <col min="2" max="2" width="16.7109375" customWidth="1"/>
    <col min="3" max="3" width="25.42578125" customWidth="1"/>
    <col min="4" max="4" width="10" bestFit="1" customWidth="1"/>
    <col min="5" max="5" width="24.140625" bestFit="1" customWidth="1"/>
    <col min="6" max="6" width="14.28515625" bestFit="1" customWidth="1"/>
    <col min="7" max="7" width="10.5703125" bestFit="1" customWidth="1"/>
    <col min="8" max="8" width="12.140625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5">
        <v>46116</v>
      </c>
      <c r="B2" s="4" t="s">
        <v>10</v>
      </c>
      <c r="C2" s="4" t="s">
        <v>12</v>
      </c>
      <c r="D2" s="4">
        <v>2</v>
      </c>
      <c r="E2" s="6">
        <f>IF(C2="Mouse",D2*B$19,IF(C2="Teclado",D2*B$20,IF(C2="Monitor",D2*B$21,D2*B$22)))</f>
        <v>8000</v>
      </c>
      <c r="F2" s="4" t="s">
        <v>17</v>
      </c>
      <c r="G2" s="7">
        <f>IF(F2="Contado", E2*10%, IF(F2="Transferencia", E2*5%, 0))</f>
        <v>800</v>
      </c>
      <c r="H2" s="8">
        <f>IF(WEEKDAY(A2,2)&lt;=5,E3*20%,E2)</f>
        <v>8000</v>
      </c>
      <c r="I2" s="4"/>
    </row>
    <row r="3" spans="1:9" x14ac:dyDescent="0.25">
      <c r="A3" s="5">
        <v>46116</v>
      </c>
      <c r="B3" s="4" t="s">
        <v>9</v>
      </c>
      <c r="C3" s="4" t="s">
        <v>12</v>
      </c>
      <c r="D3" s="4">
        <v>1</v>
      </c>
      <c r="E3" s="6">
        <f t="shared" ref="E3:E16" si="0">IF(C3="Mouse",D3*B$19,IF(C3="Teclado",D3*B$20,IF(C3="Monitor",D3*B$21,D3*B$22)))</f>
        <v>4000</v>
      </c>
      <c r="F3" s="4" t="s">
        <v>18</v>
      </c>
      <c r="G3" s="7">
        <f t="shared" ref="G3:G16" si="1">IF(F3="Contado", E3*10%, IF(F3="Transferencia", E3*5%, 0))</f>
        <v>200</v>
      </c>
      <c r="H3" s="8">
        <f t="shared" ref="H3:H16" si="2">IF(WEEKDAY(A3,2)&lt;=5,E4*20%,E3)</f>
        <v>4000</v>
      </c>
      <c r="I3" s="4"/>
    </row>
    <row r="4" spans="1:9" x14ac:dyDescent="0.25">
      <c r="A4" s="5">
        <v>46120</v>
      </c>
      <c r="B4" s="4" t="s">
        <v>10</v>
      </c>
      <c r="C4" s="4" t="s">
        <v>13</v>
      </c>
      <c r="D4" s="4">
        <v>1</v>
      </c>
      <c r="E4" s="6">
        <f t="shared" si="0"/>
        <v>25000</v>
      </c>
      <c r="F4" s="4" t="s">
        <v>19</v>
      </c>
      <c r="G4" s="7">
        <f t="shared" si="1"/>
        <v>0</v>
      </c>
      <c r="H4" s="8">
        <f t="shared" si="2"/>
        <v>5000</v>
      </c>
      <c r="I4" s="4" t="str">
        <f t="shared" ref="I3:I16" si="3">IF(TEXT(A4,"ddmm")=TEXT(B41,"ddmm"), IF(E41&gt;10, H4*0.5, H4*0.2), "")</f>
        <v/>
      </c>
    </row>
    <row r="5" spans="1:9" x14ac:dyDescent="0.25">
      <c r="A5" s="5">
        <v>46120</v>
      </c>
      <c r="B5" s="4" t="s">
        <v>11</v>
      </c>
      <c r="C5" s="4" t="s">
        <v>13</v>
      </c>
      <c r="D5" s="4">
        <v>1</v>
      </c>
      <c r="E5" s="6">
        <f t="shared" si="0"/>
        <v>25000</v>
      </c>
      <c r="F5" s="4" t="s">
        <v>17</v>
      </c>
      <c r="G5" s="7">
        <f t="shared" si="1"/>
        <v>2500</v>
      </c>
      <c r="H5" s="8">
        <f t="shared" si="2"/>
        <v>5000</v>
      </c>
      <c r="I5" s="4" t="str">
        <f t="shared" si="3"/>
        <v/>
      </c>
    </row>
    <row r="6" spans="1:9" x14ac:dyDescent="0.25">
      <c r="A6" s="5">
        <v>46120</v>
      </c>
      <c r="B6" s="4" t="s">
        <v>11</v>
      </c>
      <c r="C6" s="4" t="s">
        <v>14</v>
      </c>
      <c r="D6" s="4">
        <v>1</v>
      </c>
      <c r="E6" s="6">
        <f t="shared" si="0"/>
        <v>25000</v>
      </c>
      <c r="F6" s="4" t="s">
        <v>18</v>
      </c>
      <c r="G6" s="7">
        <f t="shared" si="1"/>
        <v>1250</v>
      </c>
      <c r="H6" s="8">
        <f t="shared" si="2"/>
        <v>10000</v>
      </c>
      <c r="I6" s="4" t="str">
        <f t="shared" si="3"/>
        <v/>
      </c>
    </row>
    <row r="7" spans="1:9" x14ac:dyDescent="0.25">
      <c r="A7" s="5">
        <v>46124</v>
      </c>
      <c r="B7" s="4" t="s">
        <v>10</v>
      </c>
      <c r="C7" s="4" t="s">
        <v>14</v>
      </c>
      <c r="D7" s="4">
        <v>2</v>
      </c>
      <c r="E7" s="6">
        <f t="shared" si="0"/>
        <v>50000</v>
      </c>
      <c r="F7" s="4" t="s">
        <v>19</v>
      </c>
      <c r="G7" s="7">
        <f t="shared" si="1"/>
        <v>0</v>
      </c>
      <c r="H7" s="8">
        <f t="shared" si="2"/>
        <v>50000</v>
      </c>
      <c r="I7" s="4" t="str">
        <f t="shared" si="3"/>
        <v/>
      </c>
    </row>
    <row r="8" spans="1:9" x14ac:dyDescent="0.25">
      <c r="A8" s="5">
        <v>46124</v>
      </c>
      <c r="B8" s="4" t="s">
        <v>9</v>
      </c>
      <c r="C8" s="4" t="s">
        <v>12</v>
      </c>
      <c r="D8" s="4">
        <v>3</v>
      </c>
      <c r="E8" s="6">
        <f t="shared" si="0"/>
        <v>12000</v>
      </c>
      <c r="F8" s="4" t="s">
        <v>17</v>
      </c>
      <c r="G8" s="7">
        <f t="shared" si="1"/>
        <v>1200</v>
      </c>
      <c r="H8" s="8">
        <f t="shared" si="2"/>
        <v>12000</v>
      </c>
      <c r="I8" s="4" t="str">
        <f t="shared" si="3"/>
        <v/>
      </c>
    </row>
    <row r="9" spans="1:9" x14ac:dyDescent="0.25">
      <c r="A9" s="5">
        <v>46124</v>
      </c>
      <c r="B9" s="4" t="s">
        <v>9</v>
      </c>
      <c r="C9" s="4" t="s">
        <v>13</v>
      </c>
      <c r="D9" s="4">
        <v>4</v>
      </c>
      <c r="E9" s="6">
        <f t="shared" si="0"/>
        <v>100000</v>
      </c>
      <c r="F9" s="4" t="s">
        <v>18</v>
      </c>
      <c r="G9" s="7">
        <f t="shared" si="1"/>
        <v>5000</v>
      </c>
      <c r="H9" s="8">
        <f t="shared" si="2"/>
        <v>100000</v>
      </c>
      <c r="I9" s="4" t="str">
        <f t="shared" si="3"/>
        <v/>
      </c>
    </row>
    <row r="10" spans="1:9" x14ac:dyDescent="0.25">
      <c r="A10" s="5">
        <v>46132</v>
      </c>
      <c r="B10" s="4" t="s">
        <v>11</v>
      </c>
      <c r="C10" s="4" t="s">
        <v>14</v>
      </c>
      <c r="D10" s="4">
        <v>1</v>
      </c>
      <c r="E10" s="6">
        <f t="shared" si="0"/>
        <v>25000</v>
      </c>
      <c r="F10" s="4" t="s">
        <v>19</v>
      </c>
      <c r="G10" s="7">
        <f t="shared" si="1"/>
        <v>0</v>
      </c>
      <c r="H10" s="8">
        <f t="shared" si="2"/>
        <v>10000</v>
      </c>
      <c r="I10" s="4" t="str">
        <f t="shared" si="3"/>
        <v/>
      </c>
    </row>
    <row r="11" spans="1:9" x14ac:dyDescent="0.25">
      <c r="A11" s="5">
        <v>46089</v>
      </c>
      <c r="B11" s="4" t="s">
        <v>10</v>
      </c>
      <c r="C11" s="4" t="s">
        <v>14</v>
      </c>
      <c r="D11" s="4">
        <v>2</v>
      </c>
      <c r="E11" s="6">
        <f t="shared" si="0"/>
        <v>50000</v>
      </c>
      <c r="F11" s="4" t="s">
        <v>17</v>
      </c>
      <c r="G11" s="7">
        <f t="shared" si="1"/>
        <v>5000</v>
      </c>
      <c r="H11" s="8">
        <f t="shared" si="2"/>
        <v>50000</v>
      </c>
      <c r="I11" s="4" t="str">
        <f t="shared" si="3"/>
        <v/>
      </c>
    </row>
    <row r="12" spans="1:9" x14ac:dyDescent="0.25">
      <c r="A12" s="5">
        <v>46132</v>
      </c>
      <c r="B12" s="4" t="s">
        <v>10</v>
      </c>
      <c r="C12" s="4" t="s">
        <v>16</v>
      </c>
      <c r="D12" s="4">
        <v>2</v>
      </c>
      <c r="E12" s="6">
        <f t="shared" si="0"/>
        <v>160000</v>
      </c>
      <c r="F12" s="4" t="s">
        <v>18</v>
      </c>
      <c r="G12" s="7">
        <f t="shared" si="1"/>
        <v>8000</v>
      </c>
      <c r="H12" s="8">
        <f t="shared" si="2"/>
        <v>48000</v>
      </c>
      <c r="I12" s="4" t="str">
        <f t="shared" si="3"/>
        <v/>
      </c>
    </row>
    <row r="13" spans="1:9" x14ac:dyDescent="0.25">
      <c r="A13" s="5">
        <v>46133</v>
      </c>
      <c r="B13" s="4" t="s">
        <v>11</v>
      </c>
      <c r="C13" s="4" t="s">
        <v>16</v>
      </c>
      <c r="D13" s="4">
        <v>3</v>
      </c>
      <c r="E13" s="6">
        <f t="shared" si="0"/>
        <v>240000</v>
      </c>
      <c r="F13" s="4" t="s">
        <v>19</v>
      </c>
      <c r="G13" s="7">
        <f t="shared" si="1"/>
        <v>0</v>
      </c>
      <c r="H13" s="8">
        <f t="shared" si="2"/>
        <v>32000</v>
      </c>
      <c r="I13" s="4" t="str">
        <f t="shared" si="3"/>
        <v/>
      </c>
    </row>
    <row r="14" spans="1:9" x14ac:dyDescent="0.25">
      <c r="A14" s="5">
        <v>46133</v>
      </c>
      <c r="B14" s="4" t="s">
        <v>10</v>
      </c>
      <c r="C14" s="4" t="s">
        <v>16</v>
      </c>
      <c r="D14" s="4">
        <v>2</v>
      </c>
      <c r="E14" s="6">
        <f t="shared" si="0"/>
        <v>160000</v>
      </c>
      <c r="F14" s="4" t="s">
        <v>17</v>
      </c>
      <c r="G14" s="7">
        <f t="shared" si="1"/>
        <v>16000</v>
      </c>
      <c r="H14" s="8">
        <f t="shared" si="2"/>
        <v>15000</v>
      </c>
      <c r="I14" s="4" t="str">
        <f t="shared" si="3"/>
        <v/>
      </c>
    </row>
    <row r="15" spans="1:9" x14ac:dyDescent="0.25">
      <c r="A15" s="5">
        <v>46133</v>
      </c>
      <c r="B15" s="4" t="s">
        <v>11</v>
      </c>
      <c r="C15" s="4" t="s">
        <v>13</v>
      </c>
      <c r="D15" s="4">
        <v>3</v>
      </c>
      <c r="E15" s="6">
        <f t="shared" si="0"/>
        <v>75000</v>
      </c>
      <c r="F15" s="4" t="s">
        <v>18</v>
      </c>
      <c r="G15" s="7">
        <f t="shared" si="1"/>
        <v>3750</v>
      </c>
      <c r="H15" s="8">
        <f t="shared" si="2"/>
        <v>3200</v>
      </c>
      <c r="I15" s="4"/>
    </row>
    <row r="16" spans="1:9" x14ac:dyDescent="0.25">
      <c r="A16" s="5">
        <v>46163</v>
      </c>
      <c r="B16" s="4" t="s">
        <v>10</v>
      </c>
      <c r="C16" s="4" t="s">
        <v>12</v>
      </c>
      <c r="D16" s="4">
        <v>4</v>
      </c>
      <c r="E16" s="6">
        <f t="shared" si="0"/>
        <v>16000</v>
      </c>
      <c r="F16" s="4" t="s">
        <v>19</v>
      </c>
      <c r="G16" s="7">
        <f t="shared" si="1"/>
        <v>0</v>
      </c>
      <c r="H16" s="8">
        <f t="shared" si="2"/>
        <v>0</v>
      </c>
      <c r="I16" s="4" t="str">
        <f t="shared" si="3"/>
        <v/>
      </c>
    </row>
    <row r="17" spans="1:4" ht="15.75" thickBot="1" x14ac:dyDescent="0.3">
      <c r="D17" t="s">
        <v>20</v>
      </c>
    </row>
    <row r="18" spans="1:4" x14ac:dyDescent="0.25">
      <c r="A18" s="9" t="s">
        <v>21</v>
      </c>
      <c r="B18" s="10" t="s">
        <v>22</v>
      </c>
    </row>
    <row r="19" spans="1:4" x14ac:dyDescent="0.25">
      <c r="A19" s="4" t="s">
        <v>12</v>
      </c>
      <c r="B19" s="6">
        <v>4000</v>
      </c>
    </row>
    <row r="20" spans="1:4" x14ac:dyDescent="0.25">
      <c r="A20" s="4" t="s">
        <v>13</v>
      </c>
      <c r="B20" s="6">
        <v>25000</v>
      </c>
    </row>
    <row r="21" spans="1:4" x14ac:dyDescent="0.25">
      <c r="A21" s="4" t="s">
        <v>14</v>
      </c>
      <c r="B21" s="6">
        <v>25000</v>
      </c>
    </row>
    <row r="22" spans="1:4" x14ac:dyDescent="0.25">
      <c r="A22" s="4" t="s">
        <v>16</v>
      </c>
      <c r="B22" s="6">
        <v>80000</v>
      </c>
    </row>
    <row r="24" spans="1:4" x14ac:dyDescent="0.25">
      <c r="A24" t="s">
        <v>31</v>
      </c>
      <c r="D24">
        <f>MAX(D2:D16)</f>
        <v>4</v>
      </c>
    </row>
    <row r="25" spans="1:4" x14ac:dyDescent="0.25">
      <c r="A25" t="s">
        <v>32</v>
      </c>
      <c r="D25">
        <f>SUM(D2:D16)</f>
        <v>32</v>
      </c>
    </row>
    <row r="27" spans="1:4" x14ac:dyDescent="0.25">
      <c r="A27" t="s">
        <v>33</v>
      </c>
    </row>
    <row r="28" spans="1:4" x14ac:dyDescent="0.25">
      <c r="A28" t="s">
        <v>15</v>
      </c>
      <c r="B28">
        <f>SUMIF(C2:C16,"Disco Duro",D2:D16)</f>
        <v>7</v>
      </c>
    </row>
    <row r="29" spans="1:4" x14ac:dyDescent="0.25">
      <c r="A29" t="s">
        <v>12</v>
      </c>
      <c r="B29">
        <f>SUMIF(C2:C16,"Mouse",D2:D16)</f>
        <v>10</v>
      </c>
    </row>
    <row r="30" spans="1:4" x14ac:dyDescent="0.25">
      <c r="A30" t="s">
        <v>13</v>
      </c>
      <c r="B30">
        <f>SUMIF(C2:C16,"Teclado",D2:D16)</f>
        <v>9</v>
      </c>
    </row>
    <row r="31" spans="1:4" x14ac:dyDescent="0.25">
      <c r="A31" t="s">
        <v>14</v>
      </c>
      <c r="B31">
        <f>SUMIF(C2:C16,"Monitor",D2:D16)</f>
        <v>6</v>
      </c>
    </row>
    <row r="33" spans="1:5" x14ac:dyDescent="0.25">
      <c r="A33" t="s">
        <v>34</v>
      </c>
    </row>
    <row r="34" spans="1:5" x14ac:dyDescent="0.25">
      <c r="A34" t="s">
        <v>10</v>
      </c>
      <c r="B34" s="3">
        <f>SUMIF(B2:B16,"Pedro",G2:G16)</f>
        <v>29800</v>
      </c>
    </row>
    <row r="35" spans="1:5" x14ac:dyDescent="0.25">
      <c r="A35" t="s">
        <v>11</v>
      </c>
      <c r="B35" s="3">
        <f>SUMIF(B2:B16,"Claudia",G2:G16)</f>
        <v>7500</v>
      </c>
    </row>
    <row r="36" spans="1:5" x14ac:dyDescent="0.25">
      <c r="A36" t="s">
        <v>9</v>
      </c>
      <c r="B36" s="3">
        <f>SUMIF(B2:B16,"Pablo",G2:G16)</f>
        <v>6400</v>
      </c>
    </row>
    <row r="38" spans="1:5" x14ac:dyDescent="0.25">
      <c r="A38" s="2" t="s">
        <v>1</v>
      </c>
      <c r="B38" s="2" t="s">
        <v>35</v>
      </c>
      <c r="C38" s="2" t="s">
        <v>36</v>
      </c>
      <c r="D38" s="2" t="s">
        <v>37</v>
      </c>
      <c r="E38" s="2" t="s">
        <v>38</v>
      </c>
    </row>
    <row r="39" spans="1:5" x14ac:dyDescent="0.25">
      <c r="A39" s="4" t="s">
        <v>11</v>
      </c>
      <c r="B39" s="5">
        <v>38450</v>
      </c>
      <c r="C39" s="5">
        <v>44314</v>
      </c>
      <c r="D39" s="4">
        <f ca="1">DATEDIF(B39,TODAY(),"y")</f>
        <v>21</v>
      </c>
      <c r="E39" s="11">
        <f ca="1">DATEDIF(C39,TODAY(),"y")</f>
        <v>4</v>
      </c>
    </row>
    <row r="40" spans="1:5" x14ac:dyDescent="0.25">
      <c r="A40" s="4" t="s">
        <v>9</v>
      </c>
      <c r="B40" s="5">
        <v>36628</v>
      </c>
      <c r="C40" s="5">
        <v>42798</v>
      </c>
      <c r="D40" s="4">
        <f t="shared" ref="D40:D41" ca="1" si="4">DATEDIF(B40,TODAY(),"y")</f>
        <v>26</v>
      </c>
      <c r="E40" s="11">
        <f t="shared" ref="E40:E41" ca="1" si="5">DATEDIF(C40,TODAY(),"y")</f>
        <v>9</v>
      </c>
    </row>
    <row r="41" spans="1:5" x14ac:dyDescent="0.25">
      <c r="A41" s="4" t="s">
        <v>10</v>
      </c>
      <c r="B41" s="5">
        <v>28557</v>
      </c>
      <c r="C41" s="5">
        <v>35827</v>
      </c>
      <c r="D41" s="4">
        <f t="shared" ca="1" si="4"/>
        <v>48</v>
      </c>
      <c r="E41" s="11">
        <f t="shared" ca="1" si="5"/>
        <v>28</v>
      </c>
    </row>
    <row r="43" spans="1:5" x14ac:dyDescent="0.25">
      <c r="A43" s="1" t="s">
        <v>23</v>
      </c>
    </row>
    <row r="44" spans="1:5" x14ac:dyDescent="0.25">
      <c r="A44" s="1" t="s">
        <v>24</v>
      </c>
    </row>
    <row r="45" spans="1:5" x14ac:dyDescent="0.25">
      <c r="A45" s="1" t="s">
        <v>25</v>
      </c>
    </row>
    <row r="46" spans="1:5" x14ac:dyDescent="0.25">
      <c r="A46" s="1" t="s">
        <v>26</v>
      </c>
    </row>
    <row r="47" spans="1:5" x14ac:dyDescent="0.25">
      <c r="A47" s="1" t="s">
        <v>27</v>
      </c>
    </row>
    <row r="48" spans="1:5" x14ac:dyDescent="0.25">
      <c r="A48" s="1" t="s">
        <v>28</v>
      </c>
    </row>
    <row r="49" spans="1:1" x14ac:dyDescent="0.25">
      <c r="A49" s="1" t="s">
        <v>29</v>
      </c>
    </row>
    <row r="50" spans="1:1" x14ac:dyDescent="0.25">
      <c r="A50" s="1" t="s">
        <v>30</v>
      </c>
    </row>
    <row r="51" spans="1:1" x14ac:dyDescent="0.25">
      <c r="A51" s="12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Taller Quinto Año</dc:creator>
  <cp:lastModifiedBy>Alumnos de Taller Quinto Año</cp:lastModifiedBy>
  <dcterms:created xsi:type="dcterms:W3CDTF">2026-04-22T10:39:22Z</dcterms:created>
  <dcterms:modified xsi:type="dcterms:W3CDTF">2026-04-22T14:05:47Z</dcterms:modified>
</cp:coreProperties>
</file>